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2\"/>
    </mc:Choice>
  </mc:AlternateContent>
  <xr:revisionPtr revIDLastSave="0" documentId="13_ncr:1_{2FB88CD6-4F72-4A86-99A4-FC352B9E938E}" xr6:coauthVersionLast="45" xr6:coauthVersionMax="45" xr10:uidLastSave="{00000000-0000-0000-0000-000000000000}"/>
  <bookViews>
    <workbookView xWindow="1035" yWindow="1035" windowWidth="19275" windowHeight="10815" xr2:uid="{11DE0600-89D8-4DB6-8D9B-FF773776C583}"/>
  </bookViews>
  <sheets>
    <sheet name="Forecast" sheetId="1" r:id="rId1"/>
    <sheet name="Forecast Backups" sheetId="16" r:id="rId2"/>
  </sheets>
  <definedNames>
    <definedName name="_xlnm.Print_Titles" localSheetId="0">Forecast!$5:$5</definedName>
    <definedName name="TrackerDate">Forecast!$B$3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G4" i="1" l="1"/>
  <c r="E9" i="1" l="1"/>
  <c r="H9" i="1"/>
  <c r="B3" i="1"/>
</calcChain>
</file>

<file path=xl/sharedStrings.xml><?xml version="1.0" encoding="utf-8"?>
<sst xmlns="http://schemas.openxmlformats.org/spreadsheetml/2006/main" count="68" uniqueCount="25">
  <si>
    <t>ABC Global Co.</t>
  </si>
  <si>
    <t>Detailed Leads Tracker</t>
  </si>
  <si>
    <t>CONFIDENTIAL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</si>
  <si>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</si>
  <si>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</si>
  <si>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</si>
  <si>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</si>
  <si>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</si>
  <si>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</si>
  <si>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</si>
  <si>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</si>
  <si>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</si>
  <si>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</si>
  <si>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</si>
  <si>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</si>
  <si>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</si>
  <si>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</si>
  <si>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</si>
  <si>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</si>
  <si>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</si>
  <si>
    <t>Backup Date/Time</t>
  </si>
  <si>
    <t>Joe Smith</t>
  </si>
  <si>
    <t>Stacy Garcia</t>
  </si>
  <si>
    <t>Tom Peters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</si>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</sst>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[$-409]m/d/yy\ h:mm\ AM/PM;@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</cellStyleXfs>
  <cellXfs count="26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0" fontId="1" fillId="0" borderId="0" xfId="6" applyFont="1" applyFill="1" applyBorder="1" applyAlignment="1">
      <alignment horizontal="right" vertical="center"/>
    </xf>
    <xf numFmtId="0" fontId="0" fillId="0" borderId="0" xfId="2" applyFont="1" applyFill="1" applyBorder="1">
      <alignment horizontal="left" vertical="center" wrapText="1"/>
    </xf>
    <xf numFmtId="164" fontId="0" fillId="0" borderId="0" xfId="7" applyFont="1" applyFill="1" applyBorder="1" applyAlignment="1">
      <alignment horizontal="right" vertical="center"/>
    </xf>
    <xf numFmtId="164" fontId="0" fillId="0" borderId="0" xfId="2" applyNumberFormat="1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4" xfId="0" applyFont="1" applyBorder="1"/>
    <xf numFmtId="0" fontId="0" fillId="0" borderId="0" xfId="2" applyFont="1" applyFill="1" applyBorder="1" applyAlignment="1">
      <alignment horizontal="left" vertical="center"/>
    </xf>
    <xf numFmtId="9" fontId="0" fillId="0" borderId="0" xfId="8" applyFont="1" applyFill="1" applyBorder="1" applyAlignment="1">
      <alignment horizontal="right" vertical="center"/>
    </xf>
    <xf numFmtId="0" fontId="0" fillId="0" borderId="0" xfId="9" applyFont="1" applyFill="1" applyBorder="1" applyAlignment="1">
      <alignment horizontal="right" vertical="center"/>
    </xf>
    <xf numFmtId="0" fontId="9" fillId="0" borderId="4" xfId="0" applyFont="1" applyFill="1" applyBorder="1"/>
    <xf numFmtId="165" fontId="0" fillId="0" borderId="0" xfId="0" applyNumberFormat="1"/>
    <xf numFmtId="7" fontId="0" fillId="0" borderId="0" xfId="0" applyNumberFormat="1"/>
    <xf numFmtId="10" fontId="0" fillId="0" borderId="0" xfId="0" applyNumberFormat="1"/>
  </cellXfs>
  <cellStyles count="10"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5:H9" totalsRowCount="1" headerRowDxfId="15" dataDxfId="14">
  <autoFilter ref="B5:H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 dataDxfId="13" totalsRowDxfId="12" totalsRowCellStyle="Normal 2"/>
    <tableColumn id="2" xr3:uid="{E04D902A-7F7D-4774-BCCA-B2F3B6C7DC9C}" name="Lead Contact" dataDxfId="11" totalsRowDxfId="10" totalsRowCellStyle="Normal 2"/>
    <tableColumn id="5" xr3:uid="{C701C0BB-D6E1-45A7-8622-4218FFBA9F7E}" name="Lead _x000a_Type" dataDxfId="9" totalsRowDxfId="8" totalsRowCellStyle="Normal 2"/>
    <tableColumn id="6" xr3:uid="{7F10B522-6651-42C8-836A-D5B58CA03C21}" name="Potential Opportunity" totalsRowFunction="sum" dataDxfId="7" totalsRowDxfId="6" totalsRowCellStyle="Normal 2"/>
    <tableColumn id="7" xr3:uid="{A6818C44-7327-469A-9BE4-4B94DAD1449F}" name="Chance of Sale" dataDxfId="5" totalsRowDxfId="4" totalsRowCellStyle="Normal 2"/>
    <tableColumn id="8" xr3:uid="{AB2CCA7E-F466-4E0F-AECD-CF082BB45952}" name="Forecast Close" dataDxfId="3" totalsRowDxfId="2" totalsRowCellStyle="Normal 2"/>
    <tableColumn id="9" xr3:uid="{CDE36525-9DA8-4C50-BD1E-C6EB27322F3E}" name="Weighted Forecast" totalsRowFunction="sum" dataDxfId="1" totalsRowDxfId="0" totalsRowCellStyle="Normal 2">
      <calculatedColumnFormula>E6*F6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eet1">
    <tabColor theme="4" tint="-0.499984740745262"/>
    <pageSetUpPr autoPageBreaks="0" fitToPage="1"/>
  </sheetPr>
  <dimension ref="B1:H9"/>
  <sheetViews>
    <sheetView showGridLines="0" tabSelected="1" workbookViewId="0">
      <selection activeCell="B6" sqref="B6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20.710937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44141.612858564811</v>
      </c>
      <c r="G3" s="16" t="s">
        <v>19</v>
      </c>
      <c r="H3" s="17">
        <v>43154.64340277778</v>
      </c>
    </row>
    <row r="4" spans="2:8" ht="30" customHeight="1" x14ac:dyDescent="0.25">
      <c r="C4" s="6"/>
      <c r="D4" s="6"/>
      <c r="E4" s="6"/>
      <c r="F4" s="6"/>
      <c r="G4" s="15" t="str">
        <f>B1</f>
        <v>ABC Global Co.</v>
      </c>
      <c r="H4" s="7" t="s">
        <v>2</v>
      </c>
    </row>
    <row r="5" spans="2:8" ht="30" customHeight="1" x14ac:dyDescent="0.25">
      <c r="B5" s="8" t="s">
        <v>3</v>
      </c>
      <c r="C5" s="8" t="s">
        <v>4</v>
      </c>
      <c r="D5" s="8" t="s">
        <v>5</v>
      </c>
      <c r="E5" s="9" t="s">
        <v>6</v>
      </c>
      <c r="F5" s="10" t="s">
        <v>7</v>
      </c>
      <c r="G5" s="10" t="s">
        <v>8</v>
      </c>
      <c r="H5" s="11" t="s">
        <v>9</v>
      </c>
    </row>
    <row r="6" spans="2:8" ht="30" customHeight="1" x14ac:dyDescent="0.25">
      <c r="B6" s="19" t="s">
        <v>10</v>
      </c>
      <c r="C6" s="19" t="s">
        <v>21</v>
      </c>
      <c r="D6" s="19" t="s">
        <v>11</v>
      </c>
      <c r="E6" s="13">
        <v>400000</v>
      </c>
      <c r="F6" s="20">
        <v>0.95</v>
      </c>
      <c r="G6" s="21" t="s">
        <v>24</v>
      </c>
      <c r="H6" s="13">
        <f t="shared" ref="H6:H8" si="0">E6*F6</f>
        <v>380000</v>
      </c>
    </row>
    <row r="7" spans="2:8" ht="30" customHeight="1" x14ac:dyDescent="0.25">
      <c r="B7" s="19" t="s">
        <v>13</v>
      </c>
      <c r="C7" s="19" t="s">
        <v>22</v>
      </c>
      <c r="D7" s="19" t="s">
        <v>11</v>
      </c>
      <c r="E7" s="13">
        <v>200000</v>
      </c>
      <c r="F7" s="20">
        <v>0.1</v>
      </c>
      <c r="G7" s="21" t="s">
        <v>14</v>
      </c>
      <c r="H7" s="13">
        <f t="shared" si="0"/>
        <v>20000</v>
      </c>
    </row>
    <row r="8" spans="2:8" ht="30" customHeight="1" x14ac:dyDescent="0.25">
      <c r="B8" s="19" t="s">
        <v>15</v>
      </c>
      <c r="C8" s="19" t="s">
        <v>23</v>
      </c>
      <c r="D8" s="19" t="s">
        <v>16</v>
      </c>
      <c r="E8" s="13">
        <v>100000</v>
      </c>
      <c r="F8" s="20">
        <v>0.2</v>
      </c>
      <c r="G8" s="21" t="s">
        <v>17</v>
      </c>
      <c r="H8" s="13">
        <f t="shared" si="0"/>
        <v>20000</v>
      </c>
    </row>
    <row r="9" spans="2:8" ht="30" customHeight="1" x14ac:dyDescent="0.25">
      <c r="B9" s="12" t="s">
        <v>18</v>
      </c>
      <c r="C9" s="12"/>
      <c r="D9" s="12"/>
      <c r="E9" s="14">
        <f>SUBTOTAL(109,LeadData[Potential Opportunity])</f>
        <v>700000</v>
      </c>
      <c r="F9" s="12"/>
      <c r="G9" s="12"/>
      <c r="H9" s="14">
        <f>SUBTOTAL(109,LeadData[Weighted Forecast])</f>
        <v>420000</v>
      </c>
    </row>
  </sheetData>
  <dataValidations count="13">
    <dataValidation allowBlank="1" showErrorMessage="1" prompt="Company Name is automatically updated in this cell based on the company name entered in cell B1" sqref="B4:G4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5" xr:uid="{D51036A4-222D-4F3F-B27E-7F5CD16E9526}"/>
    <dataValidation allowBlank="1" showInputMessage="1" showErrorMessage="1" prompt="Enter Lead Contact in this column under this heading" sqref="C5" xr:uid="{694DE61E-F6FA-4CFD-809D-B1D97BB95790}"/>
    <dataValidation allowBlank="1" showInputMessage="1" showErrorMessage="1" prompt="Enter Lead Type in this column under this heading" sqref="D5" xr:uid="{B96997EF-0BE4-4E1F-A058-CBB38A0DBFD3}"/>
    <dataValidation allowBlank="1" showInputMessage="1" showErrorMessage="1" prompt="Enter Potential Opportunity in this column under this heading" sqref="E5" xr:uid="{B3C4C35E-C235-412B-B3F6-B41107DBCDB3}"/>
    <dataValidation allowBlank="1" showInputMessage="1" showErrorMessage="1" prompt="Enter percent Chance of Sale in this column under this heading" sqref="F5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5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5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6:G8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2"/>
  <dimension ref="A1:H10"/>
  <sheetViews>
    <sheetView workbookViewId="0">
      <selection activeCell="A8" sqref="A8"/>
    </sheetView>
  </sheetViews>
  <sheetFormatPr defaultRowHeight="15" x14ac:dyDescent="0.25"/>
  <cols>
    <col min="1" max="1" width="20.4257812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  <col min="8" max="8" width="17.42578125" bestFit="1" customWidth="1"/>
  </cols>
  <sheetData>
    <row r="1" spans="1:8" x14ac:dyDescent="0.25">
      <c r="A1" s="18" t="s">
        <v>3</v>
      </c>
      <c r="B1" s="18" t="s">
        <v>4</v>
      </c>
      <c r="C1" s="18" t="s">
        <v>5</v>
      </c>
      <c r="D1" s="18" t="s">
        <v>6</v>
      </c>
      <c r="E1" s="18" t="s">
        <v>7</v>
      </c>
      <c r="F1" s="18" t="s">
        <v>8</v>
      </c>
      <c r="G1" s="18" t="s">
        <v>9</v>
      </c>
      <c r="H1" s="22" t="s">
        <v>20</v>
      </c>
    </row>
    <row r="2" spans="1:8" x14ac:dyDescent="0.25">
      <c r="A2" t="s">
        <v>10</v>
      </c>
      <c r="B2" t="s">
        <v>21</v>
      </c>
      <c r="C2" t="s">
        <v>11</v>
      </c>
      <c r="D2" s="24">
        <v>300000</v>
      </c>
      <c r="E2" s="25">
        <v>0.9</v>
      </c>
      <c r="F2" t="s">
        <v>12</v>
      </c>
      <c r="G2" s="24">
        <v>270000</v>
      </c>
      <c r="H2" s="23">
        <v>43152.57435185185</v>
      </c>
    </row>
    <row r="3" spans="1:8" x14ac:dyDescent="0.25">
      <c r="A3" t="s">
        <v>13</v>
      </c>
      <c r="B3" t="s">
        <v>22</v>
      </c>
      <c r="C3" t="s">
        <v>11</v>
      </c>
      <c r="D3" s="24">
        <v>200000</v>
      </c>
      <c r="E3" s="25">
        <v>0.1</v>
      </c>
      <c r="F3" t="s">
        <v>14</v>
      </c>
      <c r="G3" s="24">
        <v>20000</v>
      </c>
      <c r="H3" s="23">
        <v>43152.57435185185</v>
      </c>
    </row>
    <row r="4" spans="1:8" x14ac:dyDescent="0.25">
      <c r="A4" t="s">
        <v>15</v>
      </c>
      <c r="B4" t="s">
        <v>23</v>
      </c>
      <c r="C4" t="s">
        <v>16</v>
      </c>
      <c r="D4" s="24">
        <v>100000</v>
      </c>
      <c r="E4" s="25">
        <v>0.2</v>
      </c>
      <c r="F4" t="s">
        <v>17</v>
      </c>
      <c r="G4" s="24">
        <v>20000</v>
      </c>
      <c r="H4" s="23">
        <v>43152.57435185185</v>
      </c>
    </row>
    <row r="5" spans="1:8" x14ac:dyDescent="0.25">
      <c r="A5" t="s">
        <v>10</v>
      </c>
      <c r="B5" t="s">
        <v>21</v>
      </c>
      <c r="C5" t="s">
        <v>11</v>
      </c>
      <c r="D5" s="24">
        <v>400000</v>
      </c>
      <c r="E5">
        <v>0.95</v>
      </c>
      <c r="F5" t="s">
        <v>24</v>
      </c>
      <c r="G5" s="24">
        <v>380000</v>
      </c>
      <c r="H5" s="23">
        <v>43154.59851851852</v>
      </c>
    </row>
    <row r="6" spans="1:8" x14ac:dyDescent="0.25">
      <c r="A6" t="s">
        <v>13</v>
      </c>
      <c r="B6" t="s">
        <v>22</v>
      </c>
      <c r="C6" t="s">
        <v>11</v>
      </c>
      <c r="D6" s="24">
        <v>200000</v>
      </c>
      <c r="E6">
        <v>0.1</v>
      </c>
      <c r="F6" t="s">
        <v>14</v>
      </c>
      <c r="G6" s="24">
        <v>20000</v>
      </c>
      <c r="H6" s="23">
        <v>43154.59851851852</v>
      </c>
    </row>
    <row r="7" spans="1:8" x14ac:dyDescent="0.25">
      <c r="A7" t="s">
        <v>15</v>
      </c>
      <c r="B7" t="s">
        <v>23</v>
      </c>
      <c r="C7" t="s">
        <v>16</v>
      </c>
      <c r="D7" s="24">
        <v>100000</v>
      </c>
      <c r="E7">
        <v>0.2</v>
      </c>
      <c r="F7" t="s">
        <v>17</v>
      </c>
      <c r="G7" s="24">
        <v>20000</v>
      </c>
      <c r="H7" s="23">
        <v>43154.59851851852</v>
      </c>
    </row>
    <row r="8" spans="1:8" x14ac:dyDescent="0.25">
      <c r="A8" t="s">
        <v>10</v>
      </c>
      <c r="B8" t="s">
        <v>21</v>
      </c>
      <c r="C8" t="s">
        <v>11</v>
      </c>
      <c r="D8" s="24">
        <v>400000</v>
      </c>
      <c r="E8">
        <v>0.95</v>
      </c>
      <c r="F8" t="s">
        <v>24</v>
      </c>
      <c r="G8" s="24">
        <v>380000</v>
      </c>
      <c r="H8" s="23">
        <v>43154.598680555559</v>
      </c>
    </row>
    <row r="9" spans="1:8" x14ac:dyDescent="0.25">
      <c r="A9" t="s">
        <v>13</v>
      </c>
      <c r="B9" t="s">
        <v>22</v>
      </c>
      <c r="C9" t="s">
        <v>11</v>
      </c>
      <c r="D9" s="24">
        <v>200000</v>
      </c>
      <c r="E9">
        <v>0.1</v>
      </c>
      <c r="F9" t="s">
        <v>14</v>
      </c>
      <c r="G9" s="24">
        <v>20000</v>
      </c>
      <c r="H9" s="23">
        <v>43154.598680555559</v>
      </c>
    </row>
    <row r="10" spans="1:8" x14ac:dyDescent="0.25">
      <c r="A10" t="s">
        <v>15</v>
      </c>
      <c r="B10" t="s">
        <v>23</v>
      </c>
      <c r="C10" t="s">
        <v>16</v>
      </c>
      <c r="D10" s="24">
        <v>100000</v>
      </c>
      <c r="E10">
        <v>0.2</v>
      </c>
      <c r="F10" t="s">
        <v>17</v>
      </c>
      <c r="G10" s="24">
        <v>20000</v>
      </c>
      <c r="H10" s="23">
        <v>43154.598680555559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Forecast</vt:lpstr>
      <vt:lpstr>Forecast Backups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2020-11-06T22:44:07Z</dcterms:modified>
</cp:coreProperties>
</file>