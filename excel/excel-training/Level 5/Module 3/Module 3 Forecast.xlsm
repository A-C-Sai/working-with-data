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3\"/>
    </mc:Choice>
  </mc:AlternateContent>
  <xr:revisionPtr revIDLastSave="0" documentId="13_ncr:1_{A2AF7E47-B004-4488-88F6-D7EF56291C43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Forecast" sheetId="1" r:id="rId1"/>
    <sheet name="Actions List" sheetId="21" r:id="rId2"/>
    <sheet name="Bonus Schedule" sheetId="22" r:id="rId3"/>
    <sheet name="Forecast Backups" sheetId="16" r:id="rId4"/>
    <sheet name="If Statement" sheetId="19" r:id="rId5"/>
    <sheet name="Comparison Operators" sheetId="18" r:id="rId6"/>
    <sheet name="Multiple Criteria" sheetId="20" r:id="rId7"/>
  </sheets>
  <definedNames>
    <definedName name="_xlnm.Print_Titles" localSheetId="0">Forecast!$8:$8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2" i="1" l="1"/>
  <c r="H9" i="1" l="1"/>
  <c r="H10" i="1"/>
  <c r="H11" i="1"/>
  <c r="E15" i="1" l="1"/>
  <c r="H15" i="1"/>
  <c r="H5" i="1" s="1"/>
  <c r="H6" i="1" s="1"/>
  <c r="B3" i="1"/>
</calcChain>
</file>

<file path=xl/sharedStrings.xml><?xml version="1.0" encoding="utf-8"?>
<sst xmlns="http://schemas.openxmlformats.org/spreadsheetml/2006/main" count="168" uniqueCount="36">
  <si>
    <t>ABC Global Co.</t>
  </si>
  <si>
    <t>Detailed Leads Tracker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</si>
  <si>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</si>
  <si>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</si>
  <si>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</si>
  <si>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</si>
  <si>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</si>
  <si>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</si>
  <si>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</si>
  <si>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</si>
  <si>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</si>
  <si>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</si>
  <si>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</si>
  <si>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</si>
  <si>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</si>
  <si>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</si>
  <si>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</si>
  <si>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</si>
  <si>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</si>
  <si>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Backup Date/Time</t>
  </si>
  <si>
    <t>Joe Smith</t>
  </si>
  <si>
    <t>Stacy Garcia</t>
  </si>
  <si>
    <t>Tom Peters</t>
  </si>
  <si>
    <t>May</t>
  </si>
  <si>
    <t>After Hours Pub</t>
  </si>
  <si>
    <t>Katy Green</t>
  </si>
  <si>
    <t>June</t>
  </si>
  <si>
    <t>Goal:</t>
  </si>
  <si>
    <t>Variance:</t>
  </si>
  <si>
    <t>Forecast:</t>
  </si>
  <si>
    <t>Actions List</t>
  </si>
  <si>
    <t>Please list 3 actions you will take to meet your goal</t>
  </si>
  <si>
    <t>Bonus Schedule</t>
  </si>
  <si>
    <t>Great job on reaching your goal!</t>
  </si>
  <si>
    <t>Goal</t>
  </si>
  <si>
    <t>Bonus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</si>
</sst>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_(&quot;$&quot;* #,##0_);_(&quot;$&quot;* \(#,##0\);_(&quot;$&quot;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679555650502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  <xf numFmtId="44" fontId="11" fillId="0" borderId="0" applyFont="0" applyFill="0" applyBorder="0" applyAlignment="0" applyProtection="0"/>
  </cellStyleXfs>
  <cellXfs count="38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164" fontId="0" fillId="0" borderId="0" xfId="7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4" xfId="0" applyFont="1" applyBorder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  <xf numFmtId="164" fontId="0" fillId="0" borderId="0" xfId="7" applyNumberFormat="1" applyFont="1" applyFill="1" applyBorder="1" applyAlignment="1">
      <alignment horizontal="right" vertical="center"/>
    </xf>
    <xf numFmtId="0" fontId="0" fillId="0" borderId="0" xfId="0" applyNumberFormat="1" applyFont="1" applyFill="1" applyBorder="1" applyAlignment="1" applyProtection="1">
      <alignment horizontal="left" vertical="center" wrapText="1"/>
    </xf>
    <xf numFmtId="164" fontId="0" fillId="0" borderId="0" xfId="0" applyNumberFormat="1" applyFont="1" applyFill="1" applyBorder="1" applyAlignment="1" applyProtection="1">
      <alignment horizontal="right" vertical="center"/>
    </xf>
    <xf numFmtId="22" fontId="12" fillId="0" borderId="5" xfId="5" applyNumberFormat="1" applyFont="1" applyBorder="1" applyAlignment="1">
      <alignment horizontal="right" vertical="center"/>
    </xf>
    <xf numFmtId="8" fontId="12" fillId="0" borderId="6" xfId="10" applyNumberFormat="1" applyFont="1" applyBorder="1" applyAlignment="1">
      <alignment horizontal="right" vertical="center"/>
    </xf>
    <xf numFmtId="22" fontId="12" fillId="0" borderId="7" xfId="5" applyNumberFormat="1" applyFont="1" applyBorder="1" applyAlignment="1">
      <alignment horizontal="right" vertical="center"/>
    </xf>
    <xf numFmtId="8" fontId="12" fillId="0" borderId="8" xfId="10" applyNumberFormat="1" applyFont="1" applyBorder="1" applyAlignment="1">
      <alignment horizontal="right" vertical="center"/>
    </xf>
    <xf numFmtId="22" fontId="12" fillId="0" borderId="9" xfId="5" applyNumberFormat="1" applyFont="1" applyBorder="1" applyAlignment="1">
      <alignment horizontal="right" vertical="center"/>
    </xf>
    <xf numFmtId="8" fontId="12" fillId="0" borderId="10" xfId="10" applyNumberFormat="1" applyFont="1" applyBorder="1" applyAlignment="1">
      <alignment horizontal="right" vertical="center"/>
    </xf>
    <xf numFmtId="0" fontId="13" fillId="0" borderId="0" xfId="0" applyFont="1"/>
    <xf numFmtId="0" fontId="0" fillId="0" borderId="4" xfId="0" applyBorder="1"/>
    <xf numFmtId="0" fontId="0" fillId="0" borderId="11" xfId="0" applyBorder="1"/>
    <xf numFmtId="0" fontId="9" fillId="0" borderId="0" xfId="0" applyFont="1" applyAlignment="1"/>
    <xf numFmtId="9" fontId="0" fillId="0" borderId="0" xfId="0" applyNumberFormat="1"/>
    <xf numFmtId="166" fontId="0" fillId="0" borderId="0" xfId="10" applyNumberFormat="1" applyFont="1"/>
  </cellXfs>
  <cellStyles count="11">
    <cellStyle name="Currency" xfId="10" builtinId="4"/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excelcampus.com/functions/how-to-write-if-function/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0</xdr:row>
      <xdr:rowOff>142875</xdr:rowOff>
    </xdr:from>
    <xdr:to>
      <xdr:col>5</xdr:col>
      <xdr:colOff>323850</xdr:colOff>
      <xdr:row>0</xdr:row>
      <xdr:rowOff>409575</xdr:rowOff>
    </xdr:to>
    <xdr:sp macro="[0]!Forecast_Backup_Appe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BF0848-5C7A-4CF3-A166-DD574B456755}"/>
            </a:ext>
          </a:extLst>
        </xdr:cNvPr>
        <xdr:cNvSpPr/>
      </xdr:nvSpPr>
      <xdr:spPr>
        <a:xfrm>
          <a:off x="4857750" y="142875"/>
          <a:ext cx="1428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</a:t>
          </a:r>
        </a:p>
      </xdr:txBody>
    </xdr:sp>
    <xdr:clientData/>
  </xdr:twoCellAnchor>
  <xdr:twoCellAnchor>
    <xdr:from>
      <xdr:col>5</xdr:col>
      <xdr:colOff>514350</xdr:colOff>
      <xdr:row>0</xdr:row>
      <xdr:rowOff>133350</xdr:rowOff>
    </xdr:from>
    <xdr:to>
      <xdr:col>7</xdr:col>
      <xdr:colOff>781050</xdr:colOff>
      <xdr:row>0</xdr:row>
      <xdr:rowOff>400050</xdr:rowOff>
    </xdr:to>
    <xdr:sp macro="[0]!Forecast_Backup_Append_Other_Workboo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D6E3BF-EC41-461A-BDB3-8C7AE606BBC9}"/>
            </a:ext>
          </a:extLst>
        </xdr:cNvPr>
        <xdr:cNvSpPr/>
      </xdr:nvSpPr>
      <xdr:spPr>
        <a:xfrm>
          <a:off x="6477000" y="133350"/>
          <a:ext cx="2038350" cy="2667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 Other</a:t>
          </a:r>
          <a:r>
            <a:rPr lang="en-US" sz="1100" baseline="0"/>
            <a:t> WB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180975</xdr:rowOff>
    </xdr:from>
    <xdr:to>
      <xdr:col>7</xdr:col>
      <xdr:colOff>304261</xdr:colOff>
      <xdr:row>14</xdr:row>
      <xdr:rowOff>171118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7D62B9E-4B32-46FB-8A1F-BB6F00BC0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80975"/>
          <a:ext cx="4314286" cy="2657143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15</xdr:row>
      <xdr:rowOff>47625</xdr:rowOff>
    </xdr:from>
    <xdr:to>
      <xdr:col>7</xdr:col>
      <xdr:colOff>460376</xdr:colOff>
      <xdr:row>16</xdr:row>
      <xdr:rowOff>123825</xdr:rowOff>
    </xdr:to>
    <xdr:sp macro="" textlink="">
      <xdr:nvSpPr>
        <xdr:cNvPr id="6" name="TextBox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7731F9-FA71-479E-8D87-FFBDAC006408}"/>
            </a:ext>
          </a:extLst>
        </xdr:cNvPr>
        <xdr:cNvSpPr txBox="1"/>
      </xdr:nvSpPr>
      <xdr:spPr>
        <a:xfrm>
          <a:off x="171450" y="2905125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  <xdr:twoCellAnchor>
    <xdr:from>
      <xdr:col>2</xdr:col>
      <xdr:colOff>304800</xdr:colOff>
      <xdr:row>7</xdr:row>
      <xdr:rowOff>161925</xdr:rowOff>
    </xdr:from>
    <xdr:to>
      <xdr:col>7</xdr:col>
      <xdr:colOff>28575</xdr:colOff>
      <xdr:row>10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52389A8D-7EA0-444C-B36F-1D2D8C1D7F4B}"/>
            </a:ext>
          </a:extLst>
        </xdr:cNvPr>
        <xdr:cNvSpPr/>
      </xdr:nvSpPr>
      <xdr:spPr>
        <a:xfrm>
          <a:off x="1524000" y="1495425"/>
          <a:ext cx="2771775" cy="4191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38100</xdr:rowOff>
    </xdr:from>
    <xdr:to>
      <xdr:col>11</xdr:col>
      <xdr:colOff>170607</xdr:colOff>
      <xdr:row>17</xdr:row>
      <xdr:rowOff>113886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2D2A5F-DA86-4A2D-A5C8-353D99D70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38100"/>
          <a:ext cx="6742857" cy="3314286"/>
        </a:xfrm>
        <a:prstGeom prst="rect">
          <a:avLst/>
        </a:prstGeom>
      </xdr:spPr>
    </xdr:pic>
    <xdr:clientData/>
  </xdr:twoCellAnchor>
  <xdr:twoCellAnchor>
    <xdr:from>
      <xdr:col>4</xdr:col>
      <xdr:colOff>101600</xdr:colOff>
      <xdr:row>1</xdr:row>
      <xdr:rowOff>114300</xdr:rowOff>
    </xdr:from>
    <xdr:to>
      <xdr:col>8</xdr:col>
      <xdr:colOff>203200</xdr:colOff>
      <xdr:row>4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687244A-2735-4AE8-9B15-6F2FF07ABF35}"/>
            </a:ext>
          </a:extLst>
        </xdr:cNvPr>
        <xdr:cNvSpPr txBox="1"/>
      </xdr:nvSpPr>
      <xdr:spPr>
        <a:xfrm>
          <a:off x="2540000" y="304800"/>
          <a:ext cx="254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187325</xdr:colOff>
      <xdr:row>17</xdr:row>
      <xdr:rowOff>95250</xdr:rowOff>
    </xdr:from>
    <xdr:to>
      <xdr:col>7</xdr:col>
      <xdr:colOff>476251</xdr:colOff>
      <xdr:row>18</xdr:row>
      <xdr:rowOff>171450</xdr:rowOff>
    </xdr:to>
    <xdr:sp macro="" textlink="">
      <xdr:nvSpPr>
        <xdr:cNvPr id="4" name="TextBox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714F99D-24B0-4CBB-A8C1-4DFA1CD514E9}"/>
            </a:ext>
          </a:extLst>
        </xdr:cNvPr>
        <xdr:cNvSpPr txBox="1"/>
      </xdr:nvSpPr>
      <xdr:spPr>
        <a:xfrm>
          <a:off x="187325" y="3333750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9525</xdr:rowOff>
    </xdr:from>
    <xdr:to>
      <xdr:col>9</xdr:col>
      <xdr:colOff>437440</xdr:colOff>
      <xdr:row>15</xdr:row>
      <xdr:rowOff>56811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66A1A6-A4B4-40C5-A368-4D3589DFD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200025"/>
          <a:ext cx="5676190" cy="2714286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15</xdr:row>
      <xdr:rowOff>95250</xdr:rowOff>
    </xdr:from>
    <xdr:to>
      <xdr:col>7</xdr:col>
      <xdr:colOff>469901</xdr:colOff>
      <xdr:row>16</xdr:row>
      <xdr:rowOff>171450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45FF71-16F7-4A2D-B6B0-E995B567FE58}"/>
            </a:ext>
          </a:extLst>
        </xdr:cNvPr>
        <xdr:cNvSpPr txBox="1"/>
      </xdr:nvSpPr>
      <xdr:spPr>
        <a:xfrm>
          <a:off x="180975" y="2952750"/>
          <a:ext cx="4556126" cy="266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Source: </a:t>
          </a:r>
          <a:r>
            <a:rPr lang="en-US" sz="1100" u="sng">
              <a:solidFill>
                <a:srgbClr val="0070C0"/>
              </a:solidFill>
            </a:rPr>
            <a:t>https://www.excelcampus.com/functions/how-to-write-if-function/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8:H15" totalsRowCount="1" headerRowDxfId="16" dataDxfId="15">
  <autoFilter ref="B8:H1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4" totalsRowDxfId="13"/>
    <tableColumn id="2" xr3:uid="{E04D902A-7F7D-4774-BCCA-B2F3B6C7DC9C}" name="Lead Contact" dataDxfId="12" totalsRowDxfId="11"/>
    <tableColumn id="5" xr3:uid="{C701C0BB-D6E1-45A7-8622-4218FFBA9F7E}" name="Lead _x000a_Type" dataDxfId="10" totalsRowDxfId="9"/>
    <tableColumn id="6" xr3:uid="{7F10B522-6651-42C8-836A-D5B58CA03C21}" name="Potential Opportunity" totalsRowFunction="sum" dataDxfId="8" totalsRowDxfId="7"/>
    <tableColumn id="7" xr3:uid="{A6818C44-7327-469A-9BE4-4B94DAD1449F}" name="Chance of Sale" dataDxfId="6" totalsRowDxfId="5"/>
    <tableColumn id="8" xr3:uid="{AB2CCA7E-F466-4E0F-AECD-CF082BB45952}" name="Forecast Close" dataDxfId="4" totalsRowDxfId="3"/>
    <tableColumn id="9" xr3:uid="{CDE36525-9DA8-4C50-BD1E-C6EB27322F3E}" name="Weighted Forecast" totalsRowFunction="sum" dataDxfId="2" totalsRowDxfId="1">
      <calculatedColumnFormula>E9*F9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5D8B6-D16F-40FC-93FF-FE994CC890AC}" name="Table2" displayName="Table2" ref="B4:C8" totalsRowShown="0">
  <autoFilter ref="B4:C8" xr:uid="{958902C6-E5E2-4164-9921-F09E2ACC5ED0}"/>
  <tableColumns count="2">
    <tableColumn id="1" xr3:uid="{895D1B4B-10C0-4FC4-953A-6F6C8D929AFE}" name="Goal" dataDxfId="0" dataCellStyle="Currency"/>
    <tableColumn id="2" xr3:uid="{34967B85-EED1-4689-B08E-2A527984F832}" name="Bonus %"/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15"/>
  <sheetViews>
    <sheetView showGridLines="0" tabSelected="1" workbookViewId="0">
      <selection activeCell="H5" sqref="H5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16.570312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43961.281668171294</v>
      </c>
      <c r="G3" s="13" t="s">
        <v>18</v>
      </c>
      <c r="H3" s="14">
        <v>43156.621678240743</v>
      </c>
    </row>
    <row r="4" spans="2:8" ht="17.25" customHeight="1" x14ac:dyDescent="0.25">
      <c r="C4" s="6"/>
      <c r="D4" s="6"/>
      <c r="E4" s="6"/>
      <c r="F4" s="6"/>
      <c r="G4" s="26" t="s">
        <v>27</v>
      </c>
      <c r="H4" s="27">
        <v>800000</v>
      </c>
    </row>
    <row r="5" spans="2:8" ht="17.25" customHeight="1" x14ac:dyDescent="0.25">
      <c r="C5" s="6"/>
      <c r="D5" s="6"/>
      <c r="E5" s="6"/>
      <c r="F5" s="6"/>
      <c r="G5" s="28" t="s">
        <v>29</v>
      </c>
      <c r="H5" s="29">
        <f>LeadData[[#Totals],[Weighted Forecast]]</f>
        <v>845000</v>
      </c>
    </row>
    <row r="6" spans="2:8" ht="17.25" customHeight="1" x14ac:dyDescent="0.25">
      <c r="C6" s="6"/>
      <c r="D6" s="6"/>
      <c r="E6" s="6"/>
      <c r="F6" s="6"/>
      <c r="G6" s="30" t="s">
        <v>28</v>
      </c>
      <c r="H6" s="31">
        <f>H5-H4</f>
        <v>45000</v>
      </c>
    </row>
    <row r="7" spans="2:8" ht="15.75" customHeight="1" x14ac:dyDescent="0.25">
      <c r="C7" s="6"/>
      <c r="D7" s="6"/>
      <c r="E7" s="6"/>
      <c r="F7" s="6"/>
      <c r="G7" s="12"/>
      <c r="H7" s="7"/>
    </row>
    <row r="8" spans="2:8" ht="30" customHeight="1" x14ac:dyDescent="0.25">
      <c r="B8" s="8" t="s">
        <v>2</v>
      </c>
      <c r="C8" s="8" t="s">
        <v>3</v>
      </c>
      <c r="D8" s="8" t="s">
        <v>4</v>
      </c>
      <c r="E8" s="9" t="s">
        <v>5</v>
      </c>
      <c r="F8" s="10" t="s">
        <v>6</v>
      </c>
      <c r="G8" s="10" t="s">
        <v>7</v>
      </c>
      <c r="H8" s="10" t="s">
        <v>8</v>
      </c>
    </row>
    <row r="9" spans="2:8" ht="30" customHeight="1" x14ac:dyDescent="0.25">
      <c r="B9" s="16" t="s">
        <v>9</v>
      </c>
      <c r="C9" s="16" t="s">
        <v>20</v>
      </c>
      <c r="D9" s="16" t="s">
        <v>10</v>
      </c>
      <c r="E9" s="11">
        <v>400000</v>
      </c>
      <c r="F9" s="17">
        <v>0.95</v>
      </c>
      <c r="G9" s="18" t="s">
        <v>23</v>
      </c>
      <c r="H9" s="11">
        <f t="shared" ref="H9:H11" si="0">E9*F9</f>
        <v>380000</v>
      </c>
    </row>
    <row r="10" spans="2:8" ht="30" customHeight="1" x14ac:dyDescent="0.25">
      <c r="B10" s="16" t="s">
        <v>12</v>
      </c>
      <c r="C10" s="16" t="s">
        <v>21</v>
      </c>
      <c r="D10" s="16" t="s">
        <v>10</v>
      </c>
      <c r="E10" s="11">
        <v>200000</v>
      </c>
      <c r="F10" s="17">
        <v>0.1</v>
      </c>
      <c r="G10" s="18" t="s">
        <v>13</v>
      </c>
      <c r="H10" s="11">
        <f t="shared" si="0"/>
        <v>20000</v>
      </c>
    </row>
    <row r="11" spans="2:8" ht="30" customHeight="1" x14ac:dyDescent="0.25">
      <c r="B11" s="16" t="s">
        <v>14</v>
      </c>
      <c r="C11" s="16" t="s">
        <v>22</v>
      </c>
      <c r="D11" s="16" t="s">
        <v>15</v>
      </c>
      <c r="E11" s="11">
        <v>100000</v>
      </c>
      <c r="F11" s="17">
        <v>0.2</v>
      </c>
      <c r="G11" s="18" t="s">
        <v>16</v>
      </c>
      <c r="H11" s="11">
        <f t="shared" si="0"/>
        <v>20000</v>
      </c>
    </row>
    <row r="12" spans="2:8" ht="30" customHeight="1" x14ac:dyDescent="0.25">
      <c r="B12" s="16" t="s">
        <v>24</v>
      </c>
      <c r="C12" s="16" t="s">
        <v>25</v>
      </c>
      <c r="D12" s="16" t="s">
        <v>10</v>
      </c>
      <c r="E12" s="11">
        <v>50000</v>
      </c>
      <c r="F12" s="17">
        <v>0.5</v>
      </c>
      <c r="G12" s="18" t="s">
        <v>26</v>
      </c>
      <c r="H12" s="23">
        <f>E12*F12</f>
        <v>25000</v>
      </c>
    </row>
    <row r="13" spans="2:8" ht="30" customHeight="1" x14ac:dyDescent="0.25">
      <c r="B13" s="16" t="s">
        <v>9</v>
      </c>
      <c r="C13" s="16" t="s">
        <v>20</v>
      </c>
      <c r="D13" s="16" t="s">
        <v>10</v>
      </c>
      <c r="E13" s="11">
        <v>400000</v>
      </c>
      <c r="F13" s="17">
        <v>0.95</v>
      </c>
      <c r="G13" s="18" t="s">
        <v>23</v>
      </c>
      <c r="H13" s="11">
        <f t="shared" ref="H13:H14" si="1">E13*F13</f>
        <v>380000</v>
      </c>
    </row>
    <row r="14" spans="2:8" ht="30" customHeight="1" x14ac:dyDescent="0.25">
      <c r="B14" s="16" t="s">
        <v>12</v>
      </c>
      <c r="C14" s="16" t="s">
        <v>21</v>
      </c>
      <c r="D14" s="16" t="s">
        <v>10</v>
      </c>
      <c r="E14" s="11">
        <v>200000</v>
      </c>
      <c r="F14" s="17">
        <v>0.1</v>
      </c>
      <c r="G14" s="18" t="s">
        <v>13</v>
      </c>
      <c r="H14" s="11">
        <f t="shared" si="1"/>
        <v>20000</v>
      </c>
    </row>
    <row r="15" spans="2:8" ht="30" customHeight="1" x14ac:dyDescent="0.25">
      <c r="B15" s="24" t="s">
        <v>17</v>
      </c>
      <c r="C15" s="24"/>
      <c r="D15" s="24"/>
      <c r="E15" s="25">
        <f>SUBTOTAL(109,LeadData[Potential Opportunity])</f>
        <v>1350000</v>
      </c>
      <c r="F15" s="24"/>
      <c r="G15" s="24"/>
      <c r="H15" s="25">
        <f>SUBTOTAL(109,LeadData[Weighted Forecast])</f>
        <v>845000</v>
      </c>
    </row>
  </sheetData>
  <dataValidations count="13">
    <dataValidation allowBlank="1" showErrorMessage="1" prompt="Company Name is automatically updated in this cell based on the company name entered in cell B1" sqref="B4:G7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8" xr:uid="{D51036A4-222D-4F3F-B27E-7F5CD16E9526}"/>
    <dataValidation allowBlank="1" showInputMessage="1" showErrorMessage="1" prompt="Enter Lead Contact in this column under this heading" sqref="C8" xr:uid="{694DE61E-F6FA-4CFD-809D-B1D97BB95790}"/>
    <dataValidation allowBlank="1" showInputMessage="1" showErrorMessage="1" prompt="Enter Lead Type in this column under this heading" sqref="D8" xr:uid="{B96997EF-0BE4-4E1F-A058-CBB38A0DBFD3}"/>
    <dataValidation allowBlank="1" showInputMessage="1" showErrorMessage="1" prompt="Enter Potential Opportunity in this column under this heading" sqref="E8" xr:uid="{B3C4C35E-C235-412B-B3F6-B41107DBCDB3}"/>
    <dataValidation allowBlank="1" showInputMessage="1" showErrorMessage="1" prompt="Enter percent Chance of Sale in this column under this heading" sqref="F8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8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8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9:G14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E67DF-7479-4059-88FE-44BCEEC78436}">
  <sheetPr codeName="shtActions"/>
  <dimension ref="A1:C6"/>
  <sheetViews>
    <sheetView showGridLines="0" workbookViewId="0">
      <selection sqref="A1:A2"/>
    </sheetView>
  </sheetViews>
  <sheetFormatPr defaultRowHeight="15" x14ac:dyDescent="0.25"/>
  <cols>
    <col min="1" max="2" width="2.7109375" customWidth="1"/>
    <col min="3" max="3" width="50" customWidth="1"/>
  </cols>
  <sheetData>
    <row r="1" spans="1:3" ht="18.75" x14ac:dyDescent="0.3">
      <c r="A1" s="32" t="s">
        <v>30</v>
      </c>
    </row>
    <row r="2" spans="1:3" x14ac:dyDescent="0.25">
      <c r="A2" t="s">
        <v>31</v>
      </c>
    </row>
    <row r="4" spans="1:3" ht="26.25" customHeight="1" x14ac:dyDescent="0.25">
      <c r="B4" s="35">
        <v>1</v>
      </c>
      <c r="C4" s="33"/>
    </row>
    <row r="5" spans="1:3" ht="26.25" customHeight="1" x14ac:dyDescent="0.25">
      <c r="B5" s="35">
        <v>2</v>
      </c>
      <c r="C5" s="34"/>
    </row>
    <row r="6" spans="1:3" ht="26.25" customHeight="1" x14ac:dyDescent="0.25">
      <c r="B6" s="35">
        <v>3</v>
      </c>
      <c r="C6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CB705-931A-4700-A4B7-CC3EC1EDF47A}">
  <sheetPr codeName="shtBonus"/>
  <dimension ref="A1:C8"/>
  <sheetViews>
    <sheetView showGridLines="0" workbookViewId="0">
      <selection activeCell="E10" sqref="E10"/>
    </sheetView>
  </sheetViews>
  <sheetFormatPr defaultRowHeight="15" x14ac:dyDescent="0.25"/>
  <cols>
    <col min="1" max="1" width="2.7109375" customWidth="1"/>
    <col min="2" max="2" width="12.85546875" customWidth="1"/>
    <col min="3" max="3" width="10.5703125" customWidth="1"/>
  </cols>
  <sheetData>
    <row r="1" spans="1:3" ht="18.75" x14ac:dyDescent="0.3">
      <c r="A1" s="32" t="s">
        <v>32</v>
      </c>
    </row>
    <row r="2" spans="1:3" x14ac:dyDescent="0.25">
      <c r="A2" t="s">
        <v>33</v>
      </c>
    </row>
    <row r="4" spans="1:3" x14ac:dyDescent="0.25">
      <c r="B4" t="s">
        <v>34</v>
      </c>
      <c r="C4" t="s">
        <v>35</v>
      </c>
    </row>
    <row r="5" spans="1:3" x14ac:dyDescent="0.25">
      <c r="B5" s="37">
        <v>500000</v>
      </c>
      <c r="C5" s="36">
        <v>0.1</v>
      </c>
    </row>
    <row r="6" spans="1:3" x14ac:dyDescent="0.25">
      <c r="B6" s="37">
        <v>750000</v>
      </c>
      <c r="C6" s="36">
        <v>0.12</v>
      </c>
    </row>
    <row r="7" spans="1:3" x14ac:dyDescent="0.25">
      <c r="B7" s="37">
        <v>1000000</v>
      </c>
      <c r="C7" s="36">
        <v>0.15</v>
      </c>
    </row>
    <row r="8" spans="1:3" x14ac:dyDescent="0.25">
      <c r="B8" s="37">
        <v>1500000</v>
      </c>
      <c r="C8" s="36">
        <v>0.18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30"/>
  <sheetViews>
    <sheetView topLeftCell="A13" workbookViewId="0">
      <selection activeCell="A25" sqref="A25:G30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5" t="s">
        <v>2</v>
      </c>
      <c r="B1" s="15" t="s">
        <v>3</v>
      </c>
      <c r="C1" s="15" t="s">
        <v>4</v>
      </c>
      <c r="D1" s="15" t="s">
        <v>5</v>
      </c>
      <c r="E1" s="15" t="s">
        <v>6</v>
      </c>
      <c r="F1" s="15" t="s">
        <v>7</v>
      </c>
      <c r="G1" s="15" t="s">
        <v>8</v>
      </c>
      <c r="H1" s="19" t="s">
        <v>19</v>
      </c>
    </row>
    <row r="2" spans="1:8" x14ac:dyDescent="0.25">
      <c r="A2" t="s">
        <v>9</v>
      </c>
      <c r="B2" t="s">
        <v>20</v>
      </c>
      <c r="C2" t="s">
        <v>10</v>
      </c>
      <c r="D2" s="21">
        <v>300000</v>
      </c>
      <c r="E2" s="22">
        <v>0.9</v>
      </c>
      <c r="F2" t="s">
        <v>11</v>
      </c>
      <c r="G2" s="21">
        <v>270000</v>
      </c>
      <c r="H2" s="20">
        <v>43152.57435185185</v>
      </c>
    </row>
    <row r="3" spans="1:8" x14ac:dyDescent="0.25">
      <c r="A3" t="s">
        <v>12</v>
      </c>
      <c r="B3" t="s">
        <v>21</v>
      </c>
      <c r="C3" t="s">
        <v>10</v>
      </c>
      <c r="D3" s="21">
        <v>200000</v>
      </c>
      <c r="E3" s="22">
        <v>0.1</v>
      </c>
      <c r="F3" t="s">
        <v>13</v>
      </c>
      <c r="G3" s="21">
        <v>20000</v>
      </c>
      <c r="H3" s="20">
        <v>43152.57435185185</v>
      </c>
    </row>
    <row r="4" spans="1:8" x14ac:dyDescent="0.25">
      <c r="A4" t="s">
        <v>14</v>
      </c>
      <c r="B4" t="s">
        <v>22</v>
      </c>
      <c r="C4" t="s">
        <v>15</v>
      </c>
      <c r="D4" s="21">
        <v>100000</v>
      </c>
      <c r="E4" s="22">
        <v>0.2</v>
      </c>
      <c r="F4" t="s">
        <v>16</v>
      </c>
      <c r="G4" s="21">
        <v>20000</v>
      </c>
      <c r="H4" s="20">
        <v>43152.57435185185</v>
      </c>
    </row>
    <row r="5" spans="1:8" x14ac:dyDescent="0.25">
      <c r="A5" t="s">
        <v>9</v>
      </c>
      <c r="B5" t="s">
        <v>20</v>
      </c>
      <c r="C5" t="s">
        <v>10</v>
      </c>
      <c r="D5" s="21">
        <v>400000</v>
      </c>
      <c r="E5">
        <v>0.95</v>
      </c>
      <c r="F5" t="s">
        <v>23</v>
      </c>
      <c r="G5" s="21">
        <v>380000</v>
      </c>
      <c r="H5" s="20">
        <v>43156.606226851851</v>
      </c>
    </row>
    <row r="6" spans="1:8" x14ac:dyDescent="0.25">
      <c r="A6" t="s">
        <v>12</v>
      </c>
      <c r="B6" t="s">
        <v>21</v>
      </c>
      <c r="C6" t="s">
        <v>10</v>
      </c>
      <c r="D6" s="21">
        <v>200000</v>
      </c>
      <c r="E6">
        <v>0.1</v>
      </c>
      <c r="F6" t="s">
        <v>13</v>
      </c>
      <c r="G6" s="21">
        <v>20000</v>
      </c>
      <c r="H6" s="20">
        <v>43156.606226851851</v>
      </c>
    </row>
    <row r="7" spans="1:8" x14ac:dyDescent="0.25">
      <c r="A7" t="s">
        <v>14</v>
      </c>
      <c r="B7" t="s">
        <v>22</v>
      </c>
      <c r="C7" t="s">
        <v>15</v>
      </c>
      <c r="D7" s="21">
        <v>100000</v>
      </c>
      <c r="E7">
        <v>0.2</v>
      </c>
      <c r="F7" t="s">
        <v>16</v>
      </c>
      <c r="G7" s="21">
        <v>20000</v>
      </c>
      <c r="H7" s="20">
        <v>43156.606226851851</v>
      </c>
    </row>
    <row r="8" spans="1:8" x14ac:dyDescent="0.25">
      <c r="A8" t="s">
        <v>24</v>
      </c>
      <c r="B8" t="s">
        <v>25</v>
      </c>
      <c r="C8" t="s">
        <v>10</v>
      </c>
      <c r="D8" s="21">
        <v>50000</v>
      </c>
      <c r="E8">
        <v>0.5</v>
      </c>
      <c r="F8" t="s">
        <v>26</v>
      </c>
      <c r="G8" s="21">
        <v>25000</v>
      </c>
      <c r="H8" s="20">
        <v>43156.606226851851</v>
      </c>
    </row>
    <row r="9" spans="1:8" x14ac:dyDescent="0.25">
      <c r="A9" t="s">
        <v>9</v>
      </c>
      <c r="B9" t="s">
        <v>20</v>
      </c>
      <c r="C9" t="s">
        <v>10</v>
      </c>
      <c r="D9" s="21">
        <v>400000</v>
      </c>
      <c r="E9">
        <v>0.95</v>
      </c>
      <c r="F9" t="s">
        <v>23</v>
      </c>
      <c r="G9" s="21">
        <v>380000</v>
      </c>
      <c r="H9" s="20">
        <v>43156.607893518521</v>
      </c>
    </row>
    <row r="10" spans="1:8" x14ac:dyDescent="0.25">
      <c r="A10" t="s">
        <v>12</v>
      </c>
      <c r="B10" t="s">
        <v>21</v>
      </c>
      <c r="C10" t="s">
        <v>10</v>
      </c>
      <c r="D10" s="21">
        <v>200000</v>
      </c>
      <c r="E10">
        <v>0.1</v>
      </c>
      <c r="F10" t="s">
        <v>13</v>
      </c>
      <c r="G10" s="21">
        <v>20000</v>
      </c>
      <c r="H10" s="20">
        <v>43156.607893518521</v>
      </c>
    </row>
    <row r="11" spans="1:8" x14ac:dyDescent="0.25">
      <c r="A11" t="s">
        <v>14</v>
      </c>
      <c r="B11" t="s">
        <v>22</v>
      </c>
      <c r="C11" t="s">
        <v>15</v>
      </c>
      <c r="D11" s="21">
        <v>100000</v>
      </c>
      <c r="E11">
        <v>0.2</v>
      </c>
      <c r="F11" t="s">
        <v>16</v>
      </c>
      <c r="G11" s="21">
        <v>20000</v>
      </c>
      <c r="H11" s="20">
        <v>43156.607893518521</v>
      </c>
    </row>
    <row r="12" spans="1:8" x14ac:dyDescent="0.25">
      <c r="A12" t="s">
        <v>24</v>
      </c>
      <c r="B12" t="s">
        <v>25</v>
      </c>
      <c r="C12" t="s">
        <v>10</v>
      </c>
      <c r="D12" s="21">
        <v>50000</v>
      </c>
      <c r="E12">
        <v>0.5</v>
      </c>
      <c r="F12" t="s">
        <v>26</v>
      </c>
      <c r="G12" s="21">
        <v>25000</v>
      </c>
      <c r="H12" s="20">
        <v>43156.607893518521</v>
      </c>
    </row>
    <row r="13" spans="1:8" x14ac:dyDescent="0.25">
      <c r="A13" t="s">
        <v>9</v>
      </c>
      <c r="B13" t="s">
        <v>20</v>
      </c>
      <c r="C13" t="s">
        <v>10</v>
      </c>
      <c r="D13" s="21">
        <v>400000</v>
      </c>
      <c r="E13">
        <v>0.95</v>
      </c>
      <c r="F13" t="s">
        <v>23</v>
      </c>
      <c r="G13" s="21">
        <v>380000</v>
      </c>
      <c r="H13" s="20">
        <v>43156.608194444445</v>
      </c>
    </row>
    <row r="14" spans="1:8" x14ac:dyDescent="0.25">
      <c r="A14" t="s">
        <v>12</v>
      </c>
      <c r="B14" t="s">
        <v>21</v>
      </c>
      <c r="C14" t="s">
        <v>10</v>
      </c>
      <c r="D14" s="21">
        <v>200000</v>
      </c>
      <c r="E14">
        <v>0.1</v>
      </c>
      <c r="F14" t="s">
        <v>13</v>
      </c>
      <c r="G14" s="21">
        <v>20000</v>
      </c>
      <c r="H14" s="20">
        <v>43156.608194444445</v>
      </c>
    </row>
    <row r="15" spans="1:8" x14ac:dyDescent="0.25">
      <c r="A15" t="s">
        <v>14</v>
      </c>
      <c r="B15" t="s">
        <v>22</v>
      </c>
      <c r="C15" t="s">
        <v>15</v>
      </c>
      <c r="D15" s="21">
        <v>100000</v>
      </c>
      <c r="E15">
        <v>0.2</v>
      </c>
      <c r="F15" t="s">
        <v>16</v>
      </c>
      <c r="G15" s="21">
        <v>20000</v>
      </c>
      <c r="H15" s="20">
        <v>43156.608194444445</v>
      </c>
    </row>
    <row r="16" spans="1:8" x14ac:dyDescent="0.25">
      <c r="A16" t="s">
        <v>24</v>
      </c>
      <c r="B16" t="s">
        <v>25</v>
      </c>
      <c r="C16" t="s">
        <v>10</v>
      </c>
      <c r="D16" s="21">
        <v>50000</v>
      </c>
      <c r="E16">
        <v>0.5</v>
      </c>
      <c r="F16" t="s">
        <v>26</v>
      </c>
      <c r="G16" s="21">
        <v>25000</v>
      </c>
      <c r="H16" s="20">
        <v>43156.608194444445</v>
      </c>
    </row>
    <row r="17" spans="1:8" x14ac:dyDescent="0.25">
      <c r="A17" t="s">
        <v>9</v>
      </c>
      <c r="B17" t="s">
        <v>20</v>
      </c>
      <c r="C17" t="s">
        <v>10</v>
      </c>
      <c r="D17" s="21">
        <v>400000</v>
      </c>
      <c r="E17">
        <v>0.95</v>
      </c>
      <c r="F17" t="s">
        <v>23</v>
      </c>
      <c r="G17" s="21">
        <v>380000</v>
      </c>
      <c r="H17" s="20">
        <v>43156.608194444445</v>
      </c>
    </row>
    <row r="18" spans="1:8" x14ac:dyDescent="0.25">
      <c r="A18" t="s">
        <v>12</v>
      </c>
      <c r="B18" t="s">
        <v>21</v>
      </c>
      <c r="C18" t="s">
        <v>10</v>
      </c>
      <c r="D18" s="21">
        <v>200000</v>
      </c>
      <c r="E18">
        <v>0.1</v>
      </c>
      <c r="F18" t="s">
        <v>13</v>
      </c>
      <c r="G18" s="21">
        <v>20000</v>
      </c>
      <c r="H18" s="20">
        <v>43156.608194444445</v>
      </c>
    </row>
    <row r="19" spans="1:8" x14ac:dyDescent="0.25">
      <c r="A19" t="s">
        <v>9</v>
      </c>
      <c r="B19" t="s">
        <v>20</v>
      </c>
      <c r="C19" t="s">
        <v>10</v>
      </c>
      <c r="D19" s="21">
        <v>400000</v>
      </c>
      <c r="E19">
        <v>0.95</v>
      </c>
      <c r="F19" t="s">
        <v>23</v>
      </c>
      <c r="G19" s="21">
        <v>380000</v>
      </c>
      <c r="H19" s="20">
        <v>43156.618495370371</v>
      </c>
    </row>
    <row r="20" spans="1:8" x14ac:dyDescent="0.25">
      <c r="A20" t="s">
        <v>12</v>
      </c>
      <c r="B20" t="s">
        <v>21</v>
      </c>
      <c r="C20" t="s">
        <v>10</v>
      </c>
      <c r="D20" s="21">
        <v>200000</v>
      </c>
      <c r="E20">
        <v>0.1</v>
      </c>
      <c r="F20" t="s">
        <v>13</v>
      </c>
      <c r="G20" s="21">
        <v>20000</v>
      </c>
      <c r="H20" s="20">
        <v>43156.618495370371</v>
      </c>
    </row>
    <row r="21" spans="1:8" x14ac:dyDescent="0.25">
      <c r="A21" t="s">
        <v>14</v>
      </c>
      <c r="B21" t="s">
        <v>22</v>
      </c>
      <c r="C21" t="s">
        <v>15</v>
      </c>
      <c r="D21" s="21">
        <v>100000</v>
      </c>
      <c r="E21">
        <v>0.2</v>
      </c>
      <c r="F21" t="s">
        <v>16</v>
      </c>
      <c r="G21" s="21">
        <v>20000</v>
      </c>
      <c r="H21" s="20">
        <v>43156.618495370371</v>
      </c>
    </row>
    <row r="22" spans="1:8" x14ac:dyDescent="0.25">
      <c r="A22" t="s">
        <v>24</v>
      </c>
      <c r="B22" t="s">
        <v>25</v>
      </c>
      <c r="C22" t="s">
        <v>10</v>
      </c>
      <c r="D22" s="21">
        <v>50000</v>
      </c>
      <c r="E22">
        <v>0.5</v>
      </c>
      <c r="F22" t="s">
        <v>26</v>
      </c>
      <c r="G22" s="21">
        <v>25000</v>
      </c>
      <c r="H22" s="20">
        <v>43156.618495370371</v>
      </c>
    </row>
    <row r="23" spans="1:8" x14ac:dyDescent="0.25">
      <c r="A23" t="s">
        <v>9</v>
      </c>
      <c r="B23" t="s">
        <v>20</v>
      </c>
      <c r="C23" t="s">
        <v>10</v>
      </c>
      <c r="D23" s="21">
        <v>400000</v>
      </c>
      <c r="E23">
        <v>0.95</v>
      </c>
      <c r="F23" t="s">
        <v>23</v>
      </c>
      <c r="G23" s="21">
        <v>380000</v>
      </c>
      <c r="H23" s="20">
        <v>43156.618495370371</v>
      </c>
    </row>
    <row r="24" spans="1:8" x14ac:dyDescent="0.25">
      <c r="A24" t="s">
        <v>12</v>
      </c>
      <c r="B24" t="s">
        <v>21</v>
      </c>
      <c r="C24" t="s">
        <v>10</v>
      </c>
      <c r="D24" s="21">
        <v>200000</v>
      </c>
      <c r="E24">
        <v>0.1</v>
      </c>
      <c r="F24" t="s">
        <v>13</v>
      </c>
      <c r="G24" s="21">
        <v>20000</v>
      </c>
      <c r="H24" s="20">
        <v>43156.618495370371</v>
      </c>
    </row>
    <row r="25" spans="1:8" x14ac:dyDescent="0.25">
      <c r="A25" t="s">
        <v>9</v>
      </c>
      <c r="B25" t="s">
        <v>20</v>
      </c>
      <c r="C25" t="s">
        <v>10</v>
      </c>
      <c r="D25" s="21">
        <v>400000</v>
      </c>
      <c r="E25">
        <v>0.95</v>
      </c>
      <c r="F25" t="s">
        <v>23</v>
      </c>
      <c r="G25" s="21">
        <v>380000</v>
      </c>
      <c r="H25" s="20">
        <v>43156.623645833337</v>
      </c>
    </row>
    <row r="26" spans="1:8" x14ac:dyDescent="0.25">
      <c r="A26" t="s">
        <v>12</v>
      </c>
      <c r="B26" t="s">
        <v>21</v>
      </c>
      <c r="C26" t="s">
        <v>10</v>
      </c>
      <c r="D26" s="21">
        <v>200000</v>
      </c>
      <c r="E26">
        <v>0.1</v>
      </c>
      <c r="F26" t="s">
        <v>13</v>
      </c>
      <c r="G26" s="21">
        <v>20000</v>
      </c>
      <c r="H26" s="20">
        <v>43156.623645833337</v>
      </c>
    </row>
    <row r="27" spans="1:8" x14ac:dyDescent="0.25">
      <c r="A27" t="s">
        <v>14</v>
      </c>
      <c r="B27" t="s">
        <v>22</v>
      </c>
      <c r="C27" t="s">
        <v>15</v>
      </c>
      <c r="D27" s="21">
        <v>100000</v>
      </c>
      <c r="E27">
        <v>0.2</v>
      </c>
      <c r="F27" t="s">
        <v>16</v>
      </c>
      <c r="G27" s="21">
        <v>20000</v>
      </c>
      <c r="H27" s="20">
        <v>43156.623645833337</v>
      </c>
    </row>
    <row r="28" spans="1:8" x14ac:dyDescent="0.25">
      <c r="A28" t="s">
        <v>24</v>
      </c>
      <c r="B28" t="s">
        <v>25</v>
      </c>
      <c r="C28" t="s">
        <v>10</v>
      </c>
      <c r="D28" s="21">
        <v>50000</v>
      </c>
      <c r="E28">
        <v>0.5</v>
      </c>
      <c r="F28" t="s">
        <v>26</v>
      </c>
      <c r="G28" s="21">
        <v>25000</v>
      </c>
      <c r="H28" s="20">
        <v>43156.623645833337</v>
      </c>
    </row>
    <row r="29" spans="1:8" x14ac:dyDescent="0.25">
      <c r="A29" t="s">
        <v>9</v>
      </c>
      <c r="B29" t="s">
        <v>20</v>
      </c>
      <c r="C29" t="s">
        <v>10</v>
      </c>
      <c r="D29" s="21">
        <v>400000</v>
      </c>
      <c r="E29">
        <v>0.95</v>
      </c>
      <c r="F29" t="s">
        <v>23</v>
      </c>
      <c r="G29" s="21">
        <v>380000</v>
      </c>
      <c r="H29" s="20">
        <v>43156.623645833337</v>
      </c>
    </row>
    <row r="30" spans="1:8" x14ac:dyDescent="0.25">
      <c r="A30" t="s">
        <v>12</v>
      </c>
      <c r="B30" t="s">
        <v>21</v>
      </c>
      <c r="C30" t="s">
        <v>10</v>
      </c>
      <c r="D30" s="21">
        <v>200000</v>
      </c>
      <c r="E30">
        <v>0.1</v>
      </c>
      <c r="F30" t="s">
        <v>13</v>
      </c>
      <c r="G30" s="21">
        <v>20000</v>
      </c>
      <c r="H30" s="20">
        <v>43156.623645833337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22F-153F-441D-B7D2-5FDBAAF09C10}">
  <sheetPr codeName="Sheet4"/>
  <dimension ref="A1"/>
  <sheetViews>
    <sheetView showGridLines="0" workbookViewId="0">
      <selection activeCell="J15" sqref="J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EB5B8-8DD6-4EEC-8B2D-AE1019339A00}">
  <sheetPr codeName="Sheet3"/>
  <dimension ref="A1"/>
  <sheetViews>
    <sheetView showGridLines="0" workbookViewId="0">
      <selection activeCell="A21" sqref="A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1A37-E12D-4421-BEF8-5E04861AE980}">
  <sheetPr codeName="Sheet5"/>
  <dimension ref="A1"/>
  <sheetViews>
    <sheetView showGridLines="0" workbookViewId="0">
      <selection activeCell="A20" sqref="A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Forecast</vt:lpstr>
      <vt:lpstr>Actions List</vt:lpstr>
      <vt:lpstr>Bonus Schedule</vt:lpstr>
      <vt:lpstr>Forecast Backups</vt:lpstr>
      <vt:lpstr>If Statement</vt:lpstr>
      <vt:lpstr>Comparison Operators</vt:lpstr>
      <vt:lpstr>Multiple Criteria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2020-05-10T13:49:18Z</dcterms:modified>
</cp:coreProperties>
</file>